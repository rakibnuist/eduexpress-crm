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eekly Calendar" sheetId="2" state="visible" r:id="rId4"/>
    <sheet name="Content Pillars" sheetId="3" state="visible" r:id="rId5"/>
    <sheet name="Competitor Watchlist" sheetId="4" state="visible" r:id="rId6"/>
    <sheet name="Evergreen Bank" sheetId="5" state="visible" r:id="rId7"/>
    <sheet name="Rejection Log" sheetId="6" state="visible" r:id="rId8"/>
    <sheet name="KPI Dashboard" sheetId="7" state="visible" r:id="rId9"/>
    <sheet name="Brain API Poo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<sst xmlns="http://schemas.openxmlformats.org/spreadsheetml/2006/main" count="471" uniqueCount="298">
  <si>
    <t xml:space="preserve">EduExpress International — Social Media Command Center</t>
  </si>
  <si>
    <t xml:space="preserve">Single source of truth for the automated weekly content engine. n8n reads &amp; writes here.</t>
  </si>
  <si>
    <t xml:space="preserve">HOW THE WEEKLY LOOP WORKS</t>
  </si>
  <si>
    <t xml:space="preserve">1. LISTEN</t>
  </si>
  <si>
    <t xml:space="preserve">Every Thursday night n8n scrapes competitors, pulls our last-7-day performance + scholarship deadlines + CRM lead signal.</t>
  </si>
  <si>
    <t xml:space="preserve">2. THINK</t>
  </si>
  <si>
    <t xml:space="preserve">Gemini Flash writes the weekly market-gap brief and this week's angle priorities.</t>
  </si>
  <si>
    <t xml:space="preserve">3. PLAN</t>
  </si>
  <si>
    <t xml:space="preserve">It writes next week's rows into the 'Weekly Calendar' tab — copy, hashtags, briefs — and renders Tier-A graphics to Drive.</t>
  </si>
  <si>
    <t xml:space="preserve">4. APPROVE</t>
  </si>
  <si>
    <t xml:space="preserve">Friday morning you get a WhatsApp: review the week here. Set each row's Status.</t>
  </si>
  <si>
    <t xml:space="preserve">5. PRODUCE</t>
  </si>
  <si>
    <t xml:space="preserve">Designer/editor build custom assets from the Brief column, drop link in 'Asset Link', set Status = Asset Ready.</t>
  </si>
  <si>
    <t xml:space="preserve">6. PUBLISH</t>
  </si>
  <si>
    <t xml:space="preserve">Scheduler auto-posts rows that are Approved + Asset Ready at their slot time to the right page(s).</t>
  </si>
  <si>
    <t xml:space="preserve">7. LEARN</t>
  </si>
  <si>
    <t xml:space="preserve">Reach/Engagement flow back in; next week's plan adapts.</t>
  </si>
  <si>
    <t xml:space="preserve">YOUR 3 ACTIONS ON ANY POST (Status column)</t>
  </si>
  <si>
    <t xml:space="preserve">Approve</t>
  </si>
  <si>
    <t xml:space="preserve">Good to go — it proceeds to publishing.</t>
  </si>
  <si>
    <t xml:space="preserve">Edit</t>
  </si>
  <si>
    <t xml:space="preserve">Change the text in 'Full Copy' yourself; it posts exactly as you wrote it.</t>
  </si>
  <si>
    <t xml:space="preserve">Reject</t>
  </si>
  <si>
    <t xml:space="preserve">Put the reason in 'Rejection Reason'; n8n redrafts that post with your note and returns v2.</t>
  </si>
  <si>
    <t xml:space="preserve">STATUS VALUES</t>
  </si>
  <si>
    <t xml:space="preserve">Drafted -&gt; Approved / Edit / Rejected -&gt; Asset Ready -&gt; Scheduled -&gt; Published</t>
  </si>
  <si>
    <t xml:space="preserve">IF AN ASSET ISN'T READY IN TIME</t>
  </si>
  <si>
    <t xml:space="preserve">Scheduler auto-swaps a Tier-A graphic or an Evergreen Bank post so the page never goes dark. The custom post slides to the next open slot.</t>
  </si>
  <si>
    <t xml:space="preserve">DUAL-PAGE RULE</t>
  </si>
  <si>
    <t xml:space="preserve">China page = 7 China-only posts/week (always full). BD page = China + Korea/UK/Hungary. China content can appear on both; the China page never inherits a non-China gap.</t>
  </si>
  <si>
    <t xml:space="preserve">TABS</t>
  </si>
  <si>
    <t xml:space="preserve">Weekly Calendar | Content Pillars | Competitor Watchlist | Evergreen Bank | Rejection Log | KPI Dashboard</t>
  </si>
  <si>
    <t xml:space="preserve">Weekly Calendar — Sample Week: Sat 13 Jun – Fri 19 Jun 2026</t>
  </si>
  <si>
    <t xml:space="preserve">SAMPLE week pre-filled to show routing. n8n overwrites with each new week.</t>
  </si>
  <si>
    <t xml:space="preserve">Date</t>
  </si>
  <si>
    <t xml:space="preserve">Day</t>
  </si>
  <si>
    <t xml:space="preserve">Time</t>
  </si>
  <si>
    <t xml:space="preserve">Page</t>
  </si>
  <si>
    <t xml:space="preserve">Pillar</t>
  </si>
  <si>
    <t xml:space="preserve">Format</t>
  </si>
  <si>
    <t xml:space="preserve">Hook</t>
  </si>
  <si>
    <t xml:space="preserve">Full Copy</t>
  </si>
  <si>
    <t xml:space="preserve">Hashtags</t>
  </si>
  <si>
    <t xml:space="preserve">Design/Video Brief</t>
  </si>
  <si>
    <t xml:space="preserve">Asset Link</t>
  </si>
  <si>
    <t xml:space="preserve">Status</t>
  </si>
  <si>
    <t xml:space="preserve">Rejection Reason</t>
  </si>
  <si>
    <t xml:space="preserve">Published Link</t>
  </si>
  <si>
    <t xml:space="preserve">Reach</t>
  </si>
  <si>
    <t xml:space="preserve">Engagement</t>
  </si>
  <si>
    <t xml:space="preserve">2026-06-13</t>
  </si>
  <si>
    <t xml:space="preserve">Sat</t>
  </si>
  <si>
    <t xml:space="preserve">1:30 PM</t>
  </si>
  <si>
    <t xml:space="preserve">EduExpress Int'l-China</t>
  </si>
  <si>
    <t xml:space="preserve">P1 Real Numbers</t>
  </si>
  <si>
    <t xml:space="preserve">Carousel</t>
  </si>
  <si>
    <t xml:space="preserve">CSC scholarship: পুরো হিসাব দেখুন</t>
  </si>
  <si>
    <t xml:space="preserve">চীনে CSC স্কলারশিপ মানে: টিউশন ফ্রি, থাকা ফ্রি/সাবসিডাইজড, মাসে ~৳৩৫,০০০ ভাতা, মেডিকেল কভারড। ঠিকমতো apply করলে খরচ প্রায় শূন্য। ফ্রি কাউন্সেলিং — কমেন্টে 'CSC' লিখুন।</t>
  </si>
  <si>
    <t xml:space="preserve">#StudyInChina #CSCScholarship #StudyAbroadBD #EduExpress</t>
  </si>
  <si>
    <t xml:space="preserve">5-slide number carousel from template; figures human-verified</t>
  </si>
  <si>
    <t xml:space="preserve">Drafted</t>
  </si>
  <si>
    <t xml:space="preserve">2026-06-14</t>
  </si>
  <si>
    <t xml:space="preserve">Sun</t>
  </si>
  <si>
    <t xml:space="preserve">8:30 PM</t>
  </si>
  <si>
    <t xml:space="preserve">P2 Student Story</t>
  </si>
  <si>
    <t xml:space="preserve">Reel</t>
  </si>
  <si>
    <t xml:space="preserve">Riad: Dhaka → Nanjing in 6 months</t>
  </si>
  <si>
    <t xml:space="preserve">৬ মাস আগে ঢাকায় বসে চিন্তা করছিল — হবে তো? এখন Riad পড়ছে Nanjing-এ, CSC fully-funded scholarship-এ। তুমিও পারবে।</t>
  </si>
  <si>
    <t xml:space="preserve">#StudyInChina #CSCScholarship #StudyAbroadBD #EduExpress #fyp</t>
  </si>
  <si>
    <t xml:space="preserve">45s reel from Riad's clip + acceptance/visa shots; auto-captions in CapCut</t>
  </si>
  <si>
    <t xml:space="preserve">2026-06-15</t>
  </si>
  <si>
    <t xml:space="preserve">Mon</t>
  </si>
  <si>
    <t xml:space="preserve">P3 How-To</t>
  </si>
  <si>
    <t xml:space="preserve">Single image</t>
  </si>
  <si>
    <t xml:space="preserve">CSC-র জন্য যে ৬টা ডকুমেন্ট লাগবেই</t>
  </si>
  <si>
    <t xml:space="preserve">CSC application-এ যে ৬টা ডকুমেন্ট ছাড়া হবেই না — চেকলিস্ট সেভ করে রাখুন। প্রশ্ন থাকলে ইনবক্স।</t>
  </si>
  <si>
    <t xml:space="preserve">Checklist graphic, template fill</t>
  </si>
  <si>
    <t xml:space="preserve">2026-06-16</t>
  </si>
  <si>
    <t xml:space="preserve">Tue</t>
  </si>
  <si>
    <t xml:space="preserve">P4 Destination</t>
  </si>
  <si>
    <t xml:space="preserve">Nanjing university dorm tour</t>
  </si>
  <si>
    <t xml:space="preserve">চীনের একটা university dorm ভেতর থেকে কেমন? ৬০ সেকেন্ডে দেখুন।</t>
  </si>
  <si>
    <t xml:space="preserve">60s phone video; student-shot</t>
  </si>
  <si>
    <t xml:space="preserve">2026-06-17</t>
  </si>
  <si>
    <t xml:space="preserve">Wed</t>
  </si>
  <si>
    <t xml:space="preserve">স্কলারশিপ ছাড়া চীনে পড়লে খরচ কত?</t>
  </si>
  <si>
    <t xml:space="preserve">সবাই scholarship পায় না — তাহলে self-funded খরচ কত? টিউশন, থাকা, খাওয়া — সৎ হিসাব।</t>
  </si>
  <si>
    <t xml:space="preserve">Cost-breakdown carousel; verify tuition ranges</t>
  </si>
  <si>
    <t xml:space="preserve">2026-06-18</t>
  </si>
  <si>
    <t xml:space="preserve">Thu</t>
  </si>
  <si>
    <t xml:space="preserve">P5 Trust</t>
  </si>
  <si>
    <t xml:space="preserve">৯৮% visa success — কীভাবে?</t>
  </si>
  <si>
    <t xml:space="preserve">৮ বছরে ২,০০০+ শিক্ষার্থী, ৯৮% ভিসা সাকসেস। আমাদের প্রসেসটা কী — সংক্ষেপে।</t>
  </si>
  <si>
    <t xml:space="preserve">Process/trust graphic with real numbers</t>
  </si>
  <si>
    <t xml:space="preserve">2026-06-19</t>
  </si>
  <si>
    <t xml:space="preserve">Fri</t>
  </si>
  <si>
    <t xml:space="preserve">এই সপ্তাহে যারা চীনে উড়ে গেল</t>
  </si>
  <si>
    <t xml:space="preserve">এই সপ্তাহের সাফল্য — যারা এই মাসে চীনে রওনা দিল। পরের জন আপনি? ফ্রি কাউন্সেলিং বুক করুন।</t>
  </si>
  <si>
    <t xml:space="preserve">Student photo recap carousel; use library photos</t>
  </si>
  <si>
    <t xml:space="preserve">2:00 PM</t>
  </si>
  <si>
    <t xml:space="preserve">EduExpress Int'l-Bangladesh</t>
  </si>
  <si>
    <t xml:space="preserve">Carousel (EN)</t>
  </si>
  <si>
    <t xml:space="preserve">Hungary: Europe's best-kept funded secret</t>
  </si>
  <si>
    <t xml:space="preserve">Stipendium Hungaricum = fully-funded EU govt scholarship. Tuition free + stipend + Schengen. Most agencies ignore it. We don't. Book free counselling.</t>
  </si>
  <si>
    <t xml:space="preserve">#StudyInEurope #StipendiumHungaricum #StudyAbroadBD #EduExpress</t>
  </si>
  <si>
    <t xml:space="preserve">6-slide Hungary carousel from template</t>
  </si>
  <si>
    <t xml:space="preserve">9:00 PM</t>
  </si>
  <si>
    <t xml:space="preserve">Riad: Dhaka → Nanjing (shared)</t>
  </si>
  <si>
    <t xml:space="preserve">Same Riad story — China cross-posted to BD page.</t>
  </si>
  <si>
    <t xml:space="preserve">#StudyInChina #StudyAbroadBD #EduExpress #fyp</t>
  </si>
  <si>
    <t xml:space="preserve">SHARED with China page (same asset)</t>
  </si>
  <si>
    <t xml:space="preserve">Infographic</t>
  </si>
  <si>
    <t xml:space="preserve">Korea GKS: কী কী কভার করে</t>
  </si>
  <si>
    <t xml:space="preserve">South Korea-র GKS scholarship: টিউশন, ভাতা, এয়ারফেয়ার, ১ বছর ভাষা কোর্স। পুরো তালিকা।</t>
  </si>
  <si>
    <t xml:space="preserve">#StudyInKorea #GKS #StudyAbroadBD #EduExpress</t>
  </si>
  <si>
    <t xml:space="preserve">Korea coverage infographic</t>
  </si>
  <si>
    <t xml:space="preserve">UK student visa: financial requirement</t>
  </si>
  <si>
    <t xml:space="preserve">UK-তে student visa-র জন্য কত টাকা ব্যাংকে দেখাতে হয়, কত দিন রাখতে হয় — বাংলায়।</t>
  </si>
  <si>
    <t xml:space="preserve">#StudyInUK #StudyAbroadBD #EduExpress</t>
  </si>
  <si>
    <t xml:space="preserve">Financial-requirement explainer graphic; verify current figures</t>
  </si>
  <si>
    <t xml:space="preserve">Seoul student life in 45s</t>
  </si>
  <si>
    <t xml:space="preserve">Seoul-এ student হিসেবে জীবন কেমন? ৪৫ সেকেন্ডে।</t>
  </si>
  <si>
    <t xml:space="preserve">#StudyInKorea #StudyAbroadBD #EduExpress #fyp</t>
  </si>
  <si>
    <t xml:space="preserve">45s reel; stock/student footage</t>
  </si>
  <si>
    <t xml:space="preserve">China vs Korea vs UK: 1-year cost</t>
  </si>
  <si>
    <t xml:space="preserve">তিন দেশে এক বছরে মোট খরচ পাশাপাশি — কোনটা আপনার বাজেটে?</t>
  </si>
  <si>
    <t xml:space="preserve">#StudyAbroadBD #StudyInChina #StudyInKorea #StudyInUK #EduExpress</t>
  </si>
  <si>
    <t xml:space="preserve">Comparison carousel; verify figures</t>
  </si>
  <si>
    <t xml:space="preserve">Monthly results recap + CTA</t>
  </si>
  <si>
    <t xml:space="preserve">এই মাসের ফলাফল: কতজন enrolled, কোন কোন দেশে। জুলাই intake-এর সিট সীমিত — আজই কথা বলুন।</t>
  </si>
  <si>
    <t xml:space="preserve">#StudyAbroadBD #EduExpress</t>
  </si>
  <si>
    <t xml:space="preserve">Monthly recap carousel + soft CTA</t>
  </si>
  <si>
    <t xml:space="preserve">Content Pillars</t>
  </si>
  <si>
    <t xml:space="preserve">Target weekly mix. The engine balances posts to roughly these shares.</t>
  </si>
  <si>
    <t xml:space="preserve">#</t>
  </si>
  <si>
    <t xml:space="preserve">What it does</t>
  </si>
  <si>
    <t xml:space="preserve">Weekly Share</t>
  </si>
  <si>
    <t xml:space="preserve">Owns which gap</t>
  </si>
  <si>
    <t xml:space="preserve">Real Numbers</t>
  </si>
  <si>
    <t xml:space="preserve">Actual costs, stipends, scholarship amounts (CSC ~৳35k/mo, Hungary, GKS).</t>
  </si>
  <si>
    <t xml:space="preserve">30%</t>
  </si>
  <si>
    <t xml:space="preserve">The 'real numbers' lane no competitor owns</t>
  </si>
  <si>
    <t xml:space="preserve">Student Stories</t>
  </si>
  <si>
    <t xml:space="preserve">Real faces from the 2,000+: visa moments, arrivals, testimonials.</t>
  </si>
  <si>
    <t xml:space="preserve">25%</t>
  </si>
  <si>
    <t xml:space="preserve">Real proof vs rivals' stock graphics</t>
  </si>
  <si>
    <t xml:space="preserve">Deadline &amp; How-To</t>
  </si>
  <si>
    <t xml:space="preserve">Steps, document checklists, deadline countdowns (CSC ~30 Apr, GKS, Hungaricum).</t>
  </si>
  <si>
    <t xml:space="preserve">20%</t>
  </si>
  <si>
    <t xml:space="preserve">Recurring urgency rivals ignore</t>
  </si>
  <si>
    <t xml:space="preserve">Destination Spotlight</t>
  </si>
  <si>
    <t xml:space="preserve">China/Korea/UK/Hungary life, campuses, cities, work.</t>
  </si>
  <si>
    <t xml:space="preserve">15%</t>
  </si>
  <si>
    <t xml:space="preserve">Hungary niche is near-empty</t>
  </si>
  <si>
    <t xml:space="preserve">Trust &amp; Behind-the-Scenes</t>
  </si>
  <si>
    <t xml:space="preserve">Team, office, named consultants answering FAQs in Bangla.</t>
  </si>
  <si>
    <t xml:space="preserve">10%</t>
  </si>
  <si>
    <t xml:space="preserve">Named human credibility in Bangla</t>
  </si>
  <si>
    <t xml:space="preserve">Competitor Watchlist</t>
  </si>
  <si>
    <t xml:space="preserve">n8n monitors these weekly (FB pages + Meta Ad Library) for messaging, offers, and gaps.</t>
  </si>
  <si>
    <t xml:space="preserve">Competitor</t>
  </si>
  <si>
    <t xml:space="preserve">Tier</t>
  </si>
  <si>
    <t xml:space="preserve">Destination focus</t>
  </si>
  <si>
    <t xml:space="preserve">What to watch</t>
  </si>
  <si>
    <t xml:space="preserve">Website</t>
  </si>
  <si>
    <t xml:space="preserve">IDP Bangladesh</t>
  </si>
  <si>
    <t xml:space="preserve">1</t>
  </si>
  <si>
    <t xml:space="preserve">UK/Australia/Canada</t>
  </si>
  <si>
    <t xml:space="preserve">Free-counselling hook, IELTS tie-in</t>
  </si>
  <si>
    <t xml:space="preserve">idp.com/bangladesh</t>
  </si>
  <si>
    <t xml:space="preserve">Sangen Edu</t>
  </si>
  <si>
    <t xml:space="preserve">2</t>
  </si>
  <si>
    <t xml:space="preserve">UK/China/US/Canada</t>
  </si>
  <si>
    <t xml:space="preserve">Longevity claim (18+ yrs), uni count</t>
  </si>
  <si>
    <t xml:space="preserve">sangenbd.com</t>
  </si>
  <si>
    <t xml:space="preserve">GSC Global Solutions</t>
  </si>
  <si>
    <t xml:space="preserve">Europe/UK/China</t>
  </si>
  <si>
    <t xml:space="preserve">'Top 5' positioning, Europe push</t>
  </si>
  <si>
    <t xml:space="preserve">gscglobalsolutions.com</t>
  </si>
  <si>
    <t xml:space="preserve">Edumax</t>
  </si>
  <si>
    <t xml:space="preserve">China/UK</t>
  </si>
  <si>
    <t xml:space="preserve">Visa-guidance angle, 500+ students</t>
  </si>
  <si>
    <t xml:space="preserve">edumaxconsultancy.com</t>
  </si>
  <si>
    <t xml:space="preserve">Roushan Educare</t>
  </si>
  <si>
    <t xml:space="preserve">Korea/32 countries</t>
  </si>
  <si>
    <t xml:space="preserve">Korea landing pages, personalization</t>
  </si>
  <si>
    <t xml:space="preserve">roushanedu.com</t>
  </si>
  <si>
    <t xml:space="preserve">GoGlobal</t>
  </si>
  <si>
    <t xml:space="preserve">Korea/China/UK/USA</t>
  </si>
  <si>
    <t xml:space="preserve">'Free assistance' hooks</t>
  </si>
  <si>
    <t xml:space="preserve">goglobal.com.bd</t>
  </si>
  <si>
    <t xml:space="preserve">GK Consultancy</t>
  </si>
  <si>
    <t xml:space="preserve">3</t>
  </si>
  <si>
    <t xml:space="preserve">South Korea</t>
  </si>
  <si>
    <t xml:space="preserve">'Leading Korea' claim, GKS, 99% visa</t>
  </si>
  <si>
    <t xml:space="preserve">gkconsultancys.com</t>
  </si>
  <si>
    <t xml:space="preserve">FICC</t>
  </si>
  <si>
    <t xml:space="preserve">China</t>
  </si>
  <si>
    <t xml:space="preserve">100% scholarship China messaging</t>
  </si>
  <si>
    <t xml:space="preserve">ficc.com.bd/china</t>
  </si>
  <si>
    <t xml:space="preserve">SCC</t>
  </si>
  <si>
    <t xml:space="preserve">China uni + visa support</t>
  </si>
  <si>
    <t xml:space="preserve">sccbd.net/china</t>
  </si>
  <si>
    <t xml:space="preserve">Sagor Consultancy</t>
  </si>
  <si>
    <t xml:space="preserve">CSC application focus</t>
  </si>
  <si>
    <t xml:space="preserve">sagorconsultancy.com</t>
  </si>
  <si>
    <t xml:space="preserve">AECC Global BD</t>
  </si>
  <si>
    <t xml:space="preserve">Multi</t>
  </si>
  <si>
    <t xml:space="preserve">Multinational process, IELTS</t>
  </si>
  <si>
    <t xml:space="preserve">aeccglobal.com.bd</t>
  </si>
  <si>
    <t xml:space="preserve">PFEC Global BD</t>
  </si>
  <si>
    <t xml:space="preserve">'Leading' positioning</t>
  </si>
  <si>
    <t xml:space="preserve">pfecglobal.com.bd</t>
  </si>
  <si>
    <t xml:space="preserve">Evergreen Bank — pre-approved timeless posts</t>
  </si>
  <si>
    <t xml:space="preserve">Safety net: if a custom asset isn't ready, the scheduler auto-swaps one of these so the page never goes dark. Keep 15-20 per page.</t>
  </si>
  <si>
    <t xml:space="preserve">Page pool</t>
  </si>
  <si>
    <t xml:space="preserve">Copy</t>
  </si>
  <si>
    <t xml:space="preserve">P1</t>
  </si>
  <si>
    <t xml:space="preserve">CSC scholarship = tuition free + ~৳35k/mo stipend. Ask us how. Free counselling.</t>
  </si>
  <si>
    <t xml:space="preserve">#StudyInChina #CSCScholarship #EduExpress</t>
  </si>
  <si>
    <t xml:space="preserve">Approved</t>
  </si>
  <si>
    <t xml:space="preserve">P5</t>
  </si>
  <si>
    <t xml:space="preserve">8 years. 2,000+ students placed. 98% visa success. Your China journey starts with one message.</t>
  </si>
  <si>
    <t xml:space="preserve">#StudyInChina #EduExpress</t>
  </si>
  <si>
    <t xml:space="preserve">P3</t>
  </si>
  <si>
    <t xml:space="preserve">Thinking China? The 5 things to sort before you apply — save this.</t>
  </si>
  <si>
    <t xml:space="preserve">P4</t>
  </si>
  <si>
    <t xml:space="preserve">Why thousands of Bangladeshi students choose China every year. ৩টি কারণ।</t>
  </si>
  <si>
    <t xml:space="preserve">P2</t>
  </si>
  <si>
    <t xml:space="preserve">'EduExpress handled everything — documents, application, visa.' — a Nanjing student.</t>
  </si>
  <si>
    <t xml:space="preserve">Self-funded China is cheaper than you think. Here's the honest range.</t>
  </si>
  <si>
    <t xml:space="preserve">ফ্রি কাউন্সেলিং — চীনে পড়ার সব প্রশ্নের উত্তর, কোনো চার্জ ছাড়া।</t>
  </si>
  <si>
    <t xml:space="preserve">BD (all)</t>
  </si>
  <si>
    <t xml:space="preserve">China, Korea, UK, Hungary — one trusted team, 98% visa success. Book free counselling.</t>
  </si>
  <si>
    <t xml:space="preserve">Hungary = fully-funded EU education most agencies won't mention. Ask us.</t>
  </si>
  <si>
    <t xml:space="preserve">#StudyInEurope #StipendiumHungaricum #EduExpress</t>
  </si>
  <si>
    <t xml:space="preserve">Korea GKS covers tuition + stipend + airfare + language year. Full list inside.</t>
  </si>
  <si>
    <t xml:space="preserve">#StudyInKorea #GKS #EduExpress</t>
  </si>
  <si>
    <t xml:space="preserve">IELTS vs no-IELTS routes — what's actually possible. বাংলায়।</t>
  </si>
  <si>
    <t xml:space="preserve">2,000+ students placed across China, Korea, UK &amp; Europe. You could be next.</t>
  </si>
  <si>
    <t xml:space="preserve">কেন সঠিক এজেন্সি বাছা জরুরি — ৪টি প্রশ্ন আগে করুন।</t>
  </si>
  <si>
    <t xml:space="preserve">UK, Hungary, Korea or China — which fits your budget? Quick guide.</t>
  </si>
  <si>
    <t xml:space="preserve">Rejection Log</t>
  </si>
  <si>
    <t xml:space="preserve">Auto-logged when you reject a post. Trains better drafts over time.</t>
  </si>
  <si>
    <t xml:space="preserve">Post hook</t>
  </si>
  <si>
    <t xml:space="preserve">Reason given</t>
  </si>
  <si>
    <t xml:space="preserve">Action taken</t>
  </si>
  <si>
    <t xml:space="preserve">Improved?</t>
  </si>
  <si>
    <t xml:space="preserve">(example)</t>
  </si>
  <si>
    <t xml:space="preserve">CSC carousel</t>
  </si>
  <si>
    <t xml:space="preserve">Stipend figure looked off — verify</t>
  </si>
  <si>
    <t xml:space="preserve">Redrafted with verified ~৳35k; v2 approved</t>
  </si>
  <si>
    <t xml:space="preserve">KPI Dashboard</t>
  </si>
  <si>
    <t xml:space="preserve">Live formulas reading the Weekly Calendar tab.</t>
  </si>
  <si>
    <t xml:space="preserve">Posts planned (this sheet)</t>
  </si>
  <si>
    <t xml:space="preserve">Awaiting approval (Drafted)</t>
  </si>
  <si>
    <t xml:space="preserve">Rejected</t>
  </si>
  <si>
    <t xml:space="preserve">Published</t>
  </si>
  <si>
    <t xml:space="preserve">% published of planned</t>
  </si>
  <si>
    <t xml:space="preserve">China-page posts</t>
  </si>
  <si>
    <t xml:space="preserve">BD-page posts</t>
  </si>
  <si>
    <t xml:space="preserve">Avg reach (published rows)</t>
  </si>
  <si>
    <t xml:space="preserve">Avg engagement (published rows)</t>
  </si>
  <si>
    <t xml:space="preserve">Brain API Pool — rotation &amp; failover</t>
  </si>
  <si>
    <t xml:space="preserve">The 8 LLM keys n8n rotates through. SECRETS stay in n8n — this tab only holds the credential LABEL + limits + live status.</t>
  </si>
  <si>
    <t xml:space="preserve">Priority</t>
  </si>
  <si>
    <t xml:space="preserve">Provider</t>
  </si>
  <si>
    <t xml:space="preserve">Model</t>
  </si>
  <si>
    <t xml:space="preserve">n8n credential label (NO key)</t>
  </si>
  <si>
    <t xml:space="preserve">Free req/min</t>
  </si>
  <si>
    <t xml:space="preserve">Free req/day</t>
  </si>
  <si>
    <t xml:space="preserve">Rotate at (~85%)</t>
  </si>
  <si>
    <t xml:space="preserve">Used today (auto)</t>
  </si>
  <si>
    <t xml:space="preserve">Cooldown until (auto)</t>
  </si>
  <si>
    <t xml:space="preserve">Notes</t>
  </si>
  <si>
    <t xml:space="preserve">Google Gemini</t>
  </si>
  <si>
    <t xml:space="preserve">gemini-2.x-flash</t>
  </si>
  <si>
    <t xml:space="preserve">brain_gemini_1</t>
  </si>
  <si>
    <t xml:space="preserve">verify</t>
  </si>
  <si>
    <t xml:space="preserve">Active</t>
  </si>
  <si>
    <t xml:space="preserve">Stated default; highest priority</t>
  </si>
  <si>
    <t xml:space="preserve">(fill provider)</t>
  </si>
  <si>
    <t xml:space="preserve">(model)</t>
  </si>
  <si>
    <t xml:space="preserve">brain_key_2</t>
  </si>
  <si>
    <t xml:space="preserve">brain_key_3</t>
  </si>
  <si>
    <t xml:space="preserve">brain_key_4</t>
  </si>
  <si>
    <t xml:space="preserve">brain_key_5</t>
  </si>
  <si>
    <t xml:space="preserve">brain_key_6</t>
  </si>
  <si>
    <t xml:space="preserve">brain_key_7</t>
  </si>
  <si>
    <t xml:space="preserve">brain_key_8</t>
  </si>
  <si>
    <t xml:space="preserve">HOW IT ROTATES</t>
  </si>
  <si>
    <t xml:space="preserve">• Order: n8n tries keys by Priority (1 first).</t>
  </si>
  <si>
    <t xml:space="preserve">• Proactive: when 'Used today' &gt;= 'Rotate at (~85%)', skip that key for the day -&gt; next priority.</t>
  </si>
  <si>
    <t xml:space="preserve">• Failover: on HTTP 429 / quota error, set Status=Cooling + Cooldown until (reset time), retry same request on next key.</t>
  </si>
  <si>
    <t xml:space="preserve">• Reset: a daily cron clears 'Used today' and reactivates keys whose cooldown passed.</t>
  </si>
  <si>
    <t xml:space="preserve">• All capped: queue job, retry after earliest cooldown, Telegram alert.</t>
  </si>
  <si>
    <t xml:space="preserve">• Light-shaded columns (Used today, Cooldown until) are written by n8n automatically — you don't fill them.</t>
  </si>
  <si>
    <t xml:space="preserve">• Suggested free providers if you need more: Google Gemini, Groq, Mistral, Cohere, OpenRouter (free models), Cerebras, Together. VERIFY each free-tier limit before trusting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</si>
</sst>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808080"/>
        <bgColor rgb="FF969696"/>
      </patternFill>
    </fill>
    <fill>
      <patternFill patternType="solid">
        <fgColor rgb="FFDDEBF7"/>
        <bgColor rgb="FFE4DFE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5"/>
    </row>
    <row r="5" customFormat="false" ht="15" hidden="false" customHeight="true" outlineLevel="0" collapsed="false">
      <c r="A5" s="6" t="s">
        <v>2</v>
      </c>
      <c r="B5" s="7"/>
    </row>
    <row r="6" customFormat="false" ht="23.25" hidden="false" customHeight="true" outlineLevel="0" collapsed="false">
      <c r="A6" s="4" t="s">
        <v>3</v>
      </c>
      <c r="B6" s="5" t="s">
        <v>4</v>
      </c>
    </row>
    <row r="7" customFormat="false" ht="15" hidden="false" customHeight="true" outlineLevel="0" collapsed="false">
      <c r="A7" s="4" t="s">
        <v>5</v>
      </c>
      <c r="B7" s="5" t="s">
        <v>6</v>
      </c>
    </row>
    <row r="8" customFormat="false" ht="23.25" hidden="false" customHeight="true" outlineLevel="0" collapsed="false">
      <c r="A8" s="4" t="s">
        <v>7</v>
      </c>
      <c r="B8" s="5" t="s">
        <v>8</v>
      </c>
    </row>
    <row r="9" customFormat="false" ht="15" hidden="false" customHeight="true" outlineLevel="0" collapsed="false">
      <c r="A9" s="4" t="s">
        <v>9</v>
      </c>
      <c r="B9" s="5" t="s">
        <v>10</v>
      </c>
    </row>
    <row r="10" customFormat="false" ht="15" hidden="false" customHeight="true" outlineLevel="0" collapsed="false">
      <c r="A10" s="4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5" t="s">
        <v>14</v>
      </c>
    </row>
    <row r="12" customFormat="false" ht="15" hidden="false" customHeight="true" outlineLevel="0" collapsed="false">
      <c r="A12" s="4" t="s">
        <v>15</v>
      </c>
      <c r="B12" s="5" t="s">
        <v>16</v>
      </c>
    </row>
    <row r="13" customFormat="false" ht="15" hidden="false" customHeight="true" outlineLevel="0" collapsed="false">
      <c r="A13" s="4"/>
      <c r="B13" s="5"/>
    </row>
    <row r="14" customFormat="false" ht="15" hidden="false" customHeight="true" outlineLevel="0" collapsed="false">
      <c r="A14" s="6" t="s">
        <v>17</v>
      </c>
      <c r="B14" s="7"/>
    </row>
    <row r="15" customFormat="false" ht="15" hidden="false" customHeight="true" outlineLevel="0" collapsed="false">
      <c r="A15" s="4" t="s">
        <v>18</v>
      </c>
      <c r="B15" s="5" t="s">
        <v>19</v>
      </c>
    </row>
    <row r="16" customFormat="false" ht="15" hidden="false" customHeight="true" outlineLevel="0" collapsed="false">
      <c r="A16" s="4" t="s">
        <v>20</v>
      </c>
      <c r="B16" s="5" t="s">
        <v>21</v>
      </c>
    </row>
    <row r="17" customFormat="false" ht="15" hidden="false" customHeight="true" outlineLevel="0" collapsed="false">
      <c r="A17" s="4" t="s">
        <v>22</v>
      </c>
      <c r="B17" s="5" t="s">
        <v>23</v>
      </c>
    </row>
    <row r="18" customFormat="false" ht="15" hidden="false" customHeight="true" outlineLevel="0" collapsed="false">
      <c r="A18" s="4"/>
      <c r="B18" s="5"/>
    </row>
    <row r="19" customFormat="false" ht="15" hidden="false" customHeight="true" outlineLevel="0" collapsed="false">
      <c r="A19" s="4" t="s">
        <v>24</v>
      </c>
      <c r="B19" s="5" t="s">
        <v>25</v>
      </c>
    </row>
    <row r="20" customFormat="false" ht="15" hidden="false" customHeight="true" outlineLevel="0" collapsed="false">
      <c r="A20" s="4"/>
      <c r="B20" s="5"/>
    </row>
    <row r="21" customFormat="false" ht="23.25" hidden="false" customHeight="true" outlineLevel="0" collapsed="false">
      <c r="A21" s="4" t="s">
        <v>26</v>
      </c>
      <c r="B21" s="5" t="s">
        <v>27</v>
      </c>
    </row>
    <row r="22" customFormat="false" ht="23.25" hidden="false" customHeight="true" outlineLevel="0" collapsed="false">
      <c r="A22" s="4" t="s">
        <v>28</v>
      </c>
      <c r="B22" s="5" t="s">
        <v>29</v>
      </c>
    </row>
    <row r="23" customFormat="false" ht="15" hidden="false" customHeight="true" outlineLevel="0" collapsed="false">
      <c r="A23" s="4"/>
      <c r="B23" s="5"/>
    </row>
    <row r="24" customFormat="false" ht="15" hidden="false" customHeight="true" outlineLevel="0" collapsed="false">
      <c r="A24" s="4" t="s">
        <v>30</v>
      </c>
      <c r="B24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52"/>
    <col collapsed="false" customWidth="true" hidden="false" outlineLevel="0" max="9" min="9" style="1" width="30"/>
    <col collapsed="false" customWidth="true" hidden="false" outlineLevel="0" max="10" min="10" style="1" width="40"/>
    <col collapsed="false" customWidth="true" hidden="false" outlineLevel="0" max="11" min="11" style="1" width="16"/>
    <col collapsed="false" customWidth="true" hidden="false" outlineLevel="0" max="12" min="12" style="1" width="15"/>
    <col collapsed="false" customWidth="true" hidden="false" outlineLevel="0" max="13" min="13" style="1" width="28"/>
    <col collapsed="false" customWidth="true" hidden="false" outlineLevel="0" max="14" min="14" style="1" width="16"/>
    <col collapsed="false" customWidth="true" hidden="false" outlineLevel="0" max="15" min="15" style="1" width="9"/>
    <col collapsed="false" customWidth="true" hidden="false" outlineLevel="0" max="16" min="16" style="1" width="12"/>
  </cols>
  <sheetData>
    <row r="1" customFormat="false" ht="19.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</row>
    <row r="4" customFormat="false" ht="15" hidden="false" customHeight="true" outlineLevel="0" collapsed="false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</row>
    <row r="5" customFormat="false" ht="45.75" hidden="false" customHeight="true" outlineLevel="0" collapsed="false">
      <c r="A5" s="9" t="s">
        <v>50</v>
      </c>
      <c r="B5" s="9" t="s">
        <v>51</v>
      </c>
      <c r="C5" s="9" t="s">
        <v>52</v>
      </c>
      <c r="D5" s="10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9" t="s">
        <v>59</v>
      </c>
      <c r="K5" s="9"/>
      <c r="L5" s="9" t="s">
        <v>60</v>
      </c>
      <c r="M5" s="9"/>
      <c r="N5" s="9"/>
      <c r="O5" s="9"/>
      <c r="P5" s="9"/>
    </row>
    <row r="6" customFormat="false" ht="34.5" hidden="false" customHeight="true" outlineLevel="0" collapsed="false">
      <c r="A6" s="11" t="s">
        <v>61</v>
      </c>
      <c r="B6" s="11" t="s">
        <v>62</v>
      </c>
      <c r="C6" s="11" t="s">
        <v>63</v>
      </c>
      <c r="D6" s="12" t="s">
        <v>53</v>
      </c>
      <c r="E6" s="11" t="s">
        <v>64</v>
      </c>
      <c r="F6" s="11" t="s">
        <v>65</v>
      </c>
      <c r="G6" s="11" t="s">
        <v>66</v>
      </c>
      <c r="H6" s="11" t="s">
        <v>67</v>
      </c>
      <c r="I6" s="11" t="s">
        <v>68</v>
      </c>
      <c r="J6" s="11" t="s">
        <v>69</v>
      </c>
      <c r="K6" s="11"/>
      <c r="L6" s="11" t="s">
        <v>60</v>
      </c>
      <c r="M6" s="11"/>
      <c r="N6" s="11"/>
      <c r="O6" s="11"/>
      <c r="P6" s="11"/>
    </row>
    <row r="7" customFormat="false" ht="34.5" hidden="false" customHeight="true" outlineLevel="0" collapsed="false">
      <c r="A7" s="9" t="s">
        <v>70</v>
      </c>
      <c r="B7" s="9" t="s">
        <v>71</v>
      </c>
      <c r="C7" s="9" t="s">
        <v>52</v>
      </c>
      <c r="D7" s="10" t="s">
        <v>53</v>
      </c>
      <c r="E7" s="9" t="s">
        <v>72</v>
      </c>
      <c r="F7" s="9" t="s">
        <v>73</v>
      </c>
      <c r="G7" s="9" t="s">
        <v>74</v>
      </c>
      <c r="H7" s="9" t="s">
        <v>75</v>
      </c>
      <c r="I7" s="9" t="s">
        <v>58</v>
      </c>
      <c r="J7" s="9" t="s">
        <v>76</v>
      </c>
      <c r="K7" s="9"/>
      <c r="L7" s="9" t="s">
        <v>60</v>
      </c>
      <c r="M7" s="9"/>
      <c r="N7" s="9"/>
      <c r="O7" s="9"/>
      <c r="P7" s="9"/>
    </row>
    <row r="8" customFormat="false" ht="23.25" hidden="false" customHeight="true" outlineLevel="0" collapsed="false">
      <c r="A8" s="11" t="s">
        <v>77</v>
      </c>
      <c r="B8" s="11" t="s">
        <v>78</v>
      </c>
      <c r="C8" s="11" t="s">
        <v>63</v>
      </c>
      <c r="D8" s="12" t="s">
        <v>53</v>
      </c>
      <c r="E8" s="11" t="s">
        <v>79</v>
      </c>
      <c r="F8" s="11" t="s">
        <v>65</v>
      </c>
      <c r="G8" s="11" t="s">
        <v>80</v>
      </c>
      <c r="H8" s="11" t="s">
        <v>81</v>
      </c>
      <c r="I8" s="11" t="s">
        <v>68</v>
      </c>
      <c r="J8" s="11" t="s">
        <v>82</v>
      </c>
      <c r="K8" s="11"/>
      <c r="L8" s="11" t="s">
        <v>60</v>
      </c>
      <c r="M8" s="11"/>
      <c r="N8" s="11"/>
      <c r="O8" s="11"/>
      <c r="P8" s="11"/>
    </row>
    <row r="9" customFormat="false" ht="23.25" hidden="false" customHeight="true" outlineLevel="0" collapsed="false">
      <c r="A9" s="9" t="s">
        <v>83</v>
      </c>
      <c r="B9" s="9" t="s">
        <v>84</v>
      </c>
      <c r="C9" s="9" t="s">
        <v>52</v>
      </c>
      <c r="D9" s="10" t="s">
        <v>53</v>
      </c>
      <c r="E9" s="9" t="s">
        <v>54</v>
      </c>
      <c r="F9" s="9" t="s">
        <v>55</v>
      </c>
      <c r="G9" s="9" t="s">
        <v>85</v>
      </c>
      <c r="H9" s="9" t="s">
        <v>86</v>
      </c>
      <c r="I9" s="9" t="s">
        <v>58</v>
      </c>
      <c r="J9" s="9" t="s">
        <v>87</v>
      </c>
      <c r="K9" s="9"/>
      <c r="L9" s="9" t="s">
        <v>60</v>
      </c>
      <c r="M9" s="9"/>
      <c r="N9" s="9"/>
      <c r="O9" s="9"/>
      <c r="P9" s="9"/>
    </row>
    <row r="10" customFormat="false" ht="23.25" hidden="false" customHeight="true" outlineLevel="0" collapsed="false">
      <c r="A10" s="11" t="s">
        <v>88</v>
      </c>
      <c r="B10" s="11" t="s">
        <v>89</v>
      </c>
      <c r="C10" s="11" t="s">
        <v>63</v>
      </c>
      <c r="D10" s="12" t="s">
        <v>53</v>
      </c>
      <c r="E10" s="11" t="s">
        <v>90</v>
      </c>
      <c r="F10" s="11" t="s">
        <v>73</v>
      </c>
      <c r="G10" s="11" t="s">
        <v>91</v>
      </c>
      <c r="H10" s="11" t="s">
        <v>92</v>
      </c>
      <c r="I10" s="11" t="s">
        <v>58</v>
      </c>
      <c r="J10" s="11" t="s">
        <v>93</v>
      </c>
      <c r="K10" s="11"/>
      <c r="L10" s="11" t="s">
        <v>60</v>
      </c>
      <c r="M10" s="11"/>
      <c r="N10" s="11"/>
      <c r="O10" s="11"/>
      <c r="P10" s="11"/>
    </row>
    <row r="11" customFormat="false" ht="23.25" hidden="false" customHeight="true" outlineLevel="0" collapsed="false">
      <c r="A11" s="9" t="s">
        <v>94</v>
      </c>
      <c r="B11" s="9" t="s">
        <v>95</v>
      </c>
      <c r="C11" s="9" t="s">
        <v>63</v>
      </c>
      <c r="D11" s="10" t="s">
        <v>53</v>
      </c>
      <c r="E11" s="9" t="s">
        <v>64</v>
      </c>
      <c r="F11" s="9" t="s">
        <v>55</v>
      </c>
      <c r="G11" s="9" t="s">
        <v>96</v>
      </c>
      <c r="H11" s="9" t="s">
        <v>97</v>
      </c>
      <c r="I11" s="9" t="s">
        <v>58</v>
      </c>
      <c r="J11" s="9" t="s">
        <v>98</v>
      </c>
      <c r="K11" s="9"/>
      <c r="L11" s="9" t="s">
        <v>60</v>
      </c>
      <c r="M11" s="9"/>
      <c r="N11" s="9"/>
      <c r="O11" s="9"/>
      <c r="P11" s="9"/>
    </row>
    <row r="12" customFormat="false" ht="34.5" hidden="false" customHeight="true" outlineLevel="0" collapsed="false">
      <c r="A12" s="11" t="s">
        <v>50</v>
      </c>
      <c r="B12" s="11" t="s">
        <v>51</v>
      </c>
      <c r="C12" s="11" t="s">
        <v>99</v>
      </c>
      <c r="D12" s="13" t="s">
        <v>100</v>
      </c>
      <c r="E12" s="11" t="s">
        <v>54</v>
      </c>
      <c r="F12" s="11" t="s">
        <v>101</v>
      </c>
      <c r="G12" s="11" t="s">
        <v>102</v>
      </c>
      <c r="H12" s="11" t="s">
        <v>103</v>
      </c>
      <c r="I12" s="11" t="s">
        <v>104</v>
      </c>
      <c r="J12" s="11" t="s">
        <v>105</v>
      </c>
      <c r="K12" s="11"/>
      <c r="L12" s="11" t="s">
        <v>60</v>
      </c>
      <c r="M12" s="11"/>
      <c r="N12" s="11"/>
      <c r="O12" s="11"/>
      <c r="P12" s="11"/>
    </row>
    <row r="13" customFormat="false" ht="23.25" hidden="false" customHeight="true" outlineLevel="0" collapsed="false">
      <c r="A13" s="9" t="s">
        <v>61</v>
      </c>
      <c r="B13" s="9" t="s">
        <v>62</v>
      </c>
      <c r="C13" s="9" t="s">
        <v>106</v>
      </c>
      <c r="D13" s="14" t="s">
        <v>100</v>
      </c>
      <c r="E13" s="9" t="s">
        <v>64</v>
      </c>
      <c r="F13" s="9" t="s">
        <v>65</v>
      </c>
      <c r="G13" s="9" t="s">
        <v>107</v>
      </c>
      <c r="H13" s="9" t="s">
        <v>108</v>
      </c>
      <c r="I13" s="9" t="s">
        <v>109</v>
      </c>
      <c r="J13" s="9" t="s">
        <v>110</v>
      </c>
      <c r="K13" s="9"/>
      <c r="L13" s="9" t="s">
        <v>60</v>
      </c>
      <c r="M13" s="9"/>
      <c r="N13" s="9"/>
      <c r="O13" s="9"/>
      <c r="P13" s="9"/>
    </row>
    <row r="14" customFormat="false" ht="23.25" hidden="false" customHeight="true" outlineLevel="0" collapsed="false">
      <c r="A14" s="11" t="s">
        <v>70</v>
      </c>
      <c r="B14" s="11" t="s">
        <v>71</v>
      </c>
      <c r="C14" s="11" t="s">
        <v>99</v>
      </c>
      <c r="D14" s="13" t="s">
        <v>100</v>
      </c>
      <c r="E14" s="11" t="s">
        <v>54</v>
      </c>
      <c r="F14" s="11" t="s">
        <v>111</v>
      </c>
      <c r="G14" s="11" t="s">
        <v>112</v>
      </c>
      <c r="H14" s="11" t="s">
        <v>113</v>
      </c>
      <c r="I14" s="11" t="s">
        <v>114</v>
      </c>
      <c r="J14" s="11" t="s">
        <v>115</v>
      </c>
      <c r="K14" s="11"/>
      <c r="L14" s="11" t="s">
        <v>60</v>
      </c>
      <c r="M14" s="11"/>
      <c r="N14" s="11"/>
      <c r="O14" s="11"/>
      <c r="P14" s="11"/>
    </row>
    <row r="15" customFormat="false" ht="23.25" hidden="false" customHeight="true" outlineLevel="0" collapsed="false">
      <c r="A15" s="9" t="s">
        <v>77</v>
      </c>
      <c r="B15" s="9" t="s">
        <v>78</v>
      </c>
      <c r="C15" s="9" t="s">
        <v>106</v>
      </c>
      <c r="D15" s="14" t="s">
        <v>100</v>
      </c>
      <c r="E15" s="9" t="s">
        <v>72</v>
      </c>
      <c r="F15" s="9" t="s">
        <v>73</v>
      </c>
      <c r="G15" s="9" t="s">
        <v>116</v>
      </c>
      <c r="H15" s="9" t="s">
        <v>117</v>
      </c>
      <c r="I15" s="9" t="s">
        <v>118</v>
      </c>
      <c r="J15" s="9" t="s">
        <v>119</v>
      </c>
      <c r="K15" s="9"/>
      <c r="L15" s="9" t="s">
        <v>60</v>
      </c>
      <c r="M15" s="9"/>
      <c r="N15" s="9"/>
      <c r="O15" s="9"/>
      <c r="P15" s="9"/>
    </row>
    <row r="16" customFormat="false" ht="23.25" hidden="false" customHeight="true" outlineLevel="0" collapsed="false">
      <c r="A16" s="11" t="s">
        <v>83</v>
      </c>
      <c r="B16" s="11" t="s">
        <v>84</v>
      </c>
      <c r="C16" s="11" t="s">
        <v>99</v>
      </c>
      <c r="D16" s="13" t="s">
        <v>100</v>
      </c>
      <c r="E16" s="11" t="s">
        <v>79</v>
      </c>
      <c r="F16" s="11" t="s">
        <v>65</v>
      </c>
      <c r="G16" s="11" t="s">
        <v>120</v>
      </c>
      <c r="H16" s="11" t="s">
        <v>121</v>
      </c>
      <c r="I16" s="11" t="s">
        <v>122</v>
      </c>
      <c r="J16" s="11" t="s">
        <v>123</v>
      </c>
      <c r="K16" s="11"/>
      <c r="L16" s="11" t="s">
        <v>60</v>
      </c>
      <c r="M16" s="11"/>
      <c r="N16" s="11"/>
      <c r="O16" s="11"/>
      <c r="P16" s="11"/>
    </row>
    <row r="17" customFormat="false" ht="34.5" hidden="false" customHeight="true" outlineLevel="0" collapsed="false">
      <c r="A17" s="9" t="s">
        <v>88</v>
      </c>
      <c r="B17" s="9" t="s">
        <v>89</v>
      </c>
      <c r="C17" s="9" t="s">
        <v>106</v>
      </c>
      <c r="D17" s="14" t="s">
        <v>100</v>
      </c>
      <c r="E17" s="9" t="s">
        <v>54</v>
      </c>
      <c r="F17" s="9" t="s">
        <v>55</v>
      </c>
      <c r="G17" s="9" t="s">
        <v>124</v>
      </c>
      <c r="H17" s="9" t="s">
        <v>125</v>
      </c>
      <c r="I17" s="9" t="s">
        <v>126</v>
      </c>
      <c r="J17" s="9" t="s">
        <v>127</v>
      </c>
      <c r="K17" s="9"/>
      <c r="L17" s="9" t="s">
        <v>60</v>
      </c>
      <c r="M17" s="9"/>
      <c r="N17" s="9"/>
      <c r="O17" s="9"/>
      <c r="P17" s="9"/>
    </row>
    <row r="18" customFormat="false" ht="23.25" hidden="false" customHeight="true" outlineLevel="0" collapsed="false">
      <c r="A18" s="11" t="s">
        <v>94</v>
      </c>
      <c r="B18" s="11" t="s">
        <v>95</v>
      </c>
      <c r="C18" s="11" t="s">
        <v>106</v>
      </c>
      <c r="D18" s="13" t="s">
        <v>100</v>
      </c>
      <c r="E18" s="11" t="s">
        <v>64</v>
      </c>
      <c r="F18" s="11" t="s">
        <v>55</v>
      </c>
      <c r="G18" s="11" t="s">
        <v>128</v>
      </c>
      <c r="H18" s="11" t="s">
        <v>129</v>
      </c>
      <c r="I18" s="11" t="s">
        <v>130</v>
      </c>
      <c r="J18" s="11" t="s">
        <v>131</v>
      </c>
      <c r="K18" s="11"/>
      <c r="L18" s="11" t="s">
        <v>60</v>
      </c>
      <c r="M18" s="11"/>
      <c r="N18" s="11"/>
      <c r="O18" s="11"/>
      <c r="P18" s="11"/>
    </row>
  </sheetData>
  <dataValidations count="2">
    <dataValidation allowBlank="true" errorStyle="stop" operator="between" showDropDown="false" showErrorMessage="false" showInputMessage="false" sqref="L5:L500" type="list">
      <formula1>"Drafted,Approved,Edit,Rejected,Asset Ready,Scheduled,Published"</formula1>
      <formula2>0</formula2>
    </dataValidation>
    <dataValidation allowBlank="true" errorStyle="stop" operator="between" showDropDown="false" showErrorMessage="false" showInputMessage="false" sqref="D5:D500" type="list">
      <formula1>"EduExpress Int'l-China,EduExpress Int'l-Bangladesh,Instagram,TikTok"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14"/>
    <col collapsed="false" customWidth="true" hidden="false" outlineLevel="0" max="5" min="5" style="1" width="40"/>
  </cols>
  <sheetData>
    <row r="1" customFormat="false" ht="19.5" hidden="false" customHeight="true" outlineLevel="0" collapsed="false">
      <c r="A1" s="2" t="s">
        <v>132</v>
      </c>
    </row>
    <row r="2" customFormat="false" ht="15" hidden="false" customHeight="true" outlineLevel="0" collapsed="false">
      <c r="A2" s="3" t="s">
        <v>133</v>
      </c>
    </row>
    <row r="4" customFormat="false" ht="15" hidden="false" customHeight="true" outlineLevel="0" collapsed="false">
      <c r="A4" s="15" t="s">
        <v>134</v>
      </c>
      <c r="B4" s="15" t="s">
        <v>38</v>
      </c>
      <c r="C4" s="15" t="s">
        <v>135</v>
      </c>
      <c r="D4" s="15" t="s">
        <v>136</v>
      </c>
      <c r="E4" s="15" t="s">
        <v>137</v>
      </c>
    </row>
    <row r="5" customFormat="false" ht="23.25" hidden="false" customHeight="true" outlineLevel="0" collapsed="false">
      <c r="A5" s="9" t="n">
        <v>1</v>
      </c>
      <c r="B5" s="16" t="s">
        <v>138</v>
      </c>
      <c r="C5" s="9" t="s">
        <v>139</v>
      </c>
      <c r="D5" s="17" t="s">
        <v>140</v>
      </c>
      <c r="E5" s="9" t="s">
        <v>141</v>
      </c>
    </row>
    <row r="6" customFormat="false" ht="15" hidden="false" customHeight="true" outlineLevel="0" collapsed="false">
      <c r="A6" s="9" t="n">
        <v>2</v>
      </c>
      <c r="B6" s="16" t="s">
        <v>142</v>
      </c>
      <c r="C6" s="9" t="s">
        <v>143</v>
      </c>
      <c r="D6" s="17" t="s">
        <v>144</v>
      </c>
      <c r="E6" s="9" t="s">
        <v>145</v>
      </c>
    </row>
    <row r="7" customFormat="false" ht="23.25" hidden="false" customHeight="true" outlineLevel="0" collapsed="false">
      <c r="A7" s="9" t="n">
        <v>3</v>
      </c>
      <c r="B7" s="16" t="s">
        <v>146</v>
      </c>
      <c r="C7" s="9" t="s">
        <v>147</v>
      </c>
      <c r="D7" s="17" t="s">
        <v>148</v>
      </c>
      <c r="E7" s="9" t="s">
        <v>149</v>
      </c>
    </row>
    <row r="8" customFormat="false" ht="15" hidden="false" customHeight="true" outlineLevel="0" collapsed="false">
      <c r="A8" s="9" t="n">
        <v>4</v>
      </c>
      <c r="B8" s="16" t="s">
        <v>150</v>
      </c>
      <c r="C8" s="9" t="s">
        <v>151</v>
      </c>
      <c r="D8" s="17" t="s">
        <v>152</v>
      </c>
      <c r="E8" s="9" t="s">
        <v>153</v>
      </c>
    </row>
    <row r="9" customFormat="false" ht="23.25" hidden="false" customHeight="true" outlineLevel="0" collapsed="false">
      <c r="A9" s="9" t="n">
        <v>5</v>
      </c>
      <c r="B9" s="16" t="s">
        <v>154</v>
      </c>
      <c r="C9" s="9" t="s">
        <v>155</v>
      </c>
      <c r="D9" s="17" t="s">
        <v>156</v>
      </c>
      <c r="E9" s="9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40"/>
    <col collapsed="false" customWidth="true" hidden="false" outlineLevel="0" max="5" min="5" style="1" width="42"/>
  </cols>
  <sheetData>
    <row r="1" customFormat="false" ht="19.5" hidden="false" customHeight="true" outlineLevel="0" collapsed="false">
      <c r="A1" s="2" t="s">
        <v>158</v>
      </c>
    </row>
    <row r="2" customFormat="false" ht="15" hidden="false" customHeight="true" outlineLevel="0" collapsed="false">
      <c r="A2" s="3" t="s">
        <v>159</v>
      </c>
    </row>
    <row r="4" customFormat="false" ht="15" hidden="false" customHeight="true" outlineLevel="0" collapsed="false">
      <c r="A4" s="15" t="s">
        <v>160</v>
      </c>
      <c r="B4" s="15" t="s">
        <v>161</v>
      </c>
      <c r="C4" s="15" t="s">
        <v>162</v>
      </c>
      <c r="D4" s="15" t="s">
        <v>163</v>
      </c>
      <c r="E4" s="15" t="s">
        <v>164</v>
      </c>
    </row>
    <row r="5" customFormat="false" ht="15" hidden="false" customHeight="true" outlineLevel="0" collapsed="false">
      <c r="A5" s="16" t="s">
        <v>165</v>
      </c>
      <c r="B5" s="17" t="s">
        <v>166</v>
      </c>
      <c r="C5" s="9" t="s">
        <v>167</v>
      </c>
      <c r="D5" s="9" t="s">
        <v>168</v>
      </c>
      <c r="E5" s="9" t="s">
        <v>169</v>
      </c>
    </row>
    <row r="6" customFormat="false" ht="15" hidden="false" customHeight="true" outlineLevel="0" collapsed="false">
      <c r="A6" s="16" t="s">
        <v>170</v>
      </c>
      <c r="B6" s="17" t="s">
        <v>171</v>
      </c>
      <c r="C6" s="9" t="s">
        <v>172</v>
      </c>
      <c r="D6" s="9" t="s">
        <v>173</v>
      </c>
      <c r="E6" s="9" t="s">
        <v>174</v>
      </c>
    </row>
    <row r="7" customFormat="false" ht="15" hidden="false" customHeight="true" outlineLevel="0" collapsed="false">
      <c r="A7" s="16" t="s">
        <v>175</v>
      </c>
      <c r="B7" s="17" t="s">
        <v>171</v>
      </c>
      <c r="C7" s="9" t="s">
        <v>176</v>
      </c>
      <c r="D7" s="9" t="s">
        <v>177</v>
      </c>
      <c r="E7" s="9" t="s">
        <v>178</v>
      </c>
    </row>
    <row r="8" customFormat="false" ht="15" hidden="false" customHeight="true" outlineLevel="0" collapsed="false">
      <c r="A8" s="16" t="s">
        <v>179</v>
      </c>
      <c r="B8" s="17" t="s">
        <v>171</v>
      </c>
      <c r="C8" s="9" t="s">
        <v>180</v>
      </c>
      <c r="D8" s="9" t="s">
        <v>181</v>
      </c>
      <c r="E8" s="9" t="s">
        <v>182</v>
      </c>
    </row>
    <row r="9" customFormat="false" ht="15" hidden="false" customHeight="true" outlineLevel="0" collapsed="false">
      <c r="A9" s="16" t="s">
        <v>183</v>
      </c>
      <c r="B9" s="17" t="s">
        <v>171</v>
      </c>
      <c r="C9" s="9" t="s">
        <v>184</v>
      </c>
      <c r="D9" s="9" t="s">
        <v>185</v>
      </c>
      <c r="E9" s="9" t="s">
        <v>186</v>
      </c>
    </row>
    <row r="10" customFormat="false" ht="15" hidden="false" customHeight="true" outlineLevel="0" collapsed="false">
      <c r="A10" s="16" t="s">
        <v>187</v>
      </c>
      <c r="B10" s="17" t="s">
        <v>171</v>
      </c>
      <c r="C10" s="9" t="s">
        <v>188</v>
      </c>
      <c r="D10" s="9" t="s">
        <v>189</v>
      </c>
      <c r="E10" s="9" t="s">
        <v>190</v>
      </c>
    </row>
    <row r="11" customFormat="false" ht="15" hidden="false" customHeight="true" outlineLevel="0" collapsed="false">
      <c r="A11" s="16" t="s">
        <v>191</v>
      </c>
      <c r="B11" s="17" t="s">
        <v>192</v>
      </c>
      <c r="C11" s="9" t="s">
        <v>193</v>
      </c>
      <c r="D11" s="9" t="s">
        <v>194</v>
      </c>
      <c r="E11" s="9" t="s">
        <v>195</v>
      </c>
    </row>
    <row r="12" customFormat="false" ht="15" hidden="false" customHeight="true" outlineLevel="0" collapsed="false">
      <c r="A12" s="16" t="s">
        <v>196</v>
      </c>
      <c r="B12" s="17" t="s">
        <v>192</v>
      </c>
      <c r="C12" s="9" t="s">
        <v>197</v>
      </c>
      <c r="D12" s="9" t="s">
        <v>198</v>
      </c>
      <c r="E12" s="9" t="s">
        <v>199</v>
      </c>
    </row>
    <row r="13" customFormat="false" ht="15" hidden="false" customHeight="true" outlineLevel="0" collapsed="false">
      <c r="A13" s="16" t="s">
        <v>200</v>
      </c>
      <c r="B13" s="17" t="s">
        <v>192</v>
      </c>
      <c r="C13" s="9" t="s">
        <v>197</v>
      </c>
      <c r="D13" s="9" t="s">
        <v>201</v>
      </c>
      <c r="E13" s="9" t="s">
        <v>202</v>
      </c>
    </row>
    <row r="14" customFormat="false" ht="15" hidden="false" customHeight="true" outlineLevel="0" collapsed="false">
      <c r="A14" s="16" t="s">
        <v>203</v>
      </c>
      <c r="B14" s="17" t="s">
        <v>192</v>
      </c>
      <c r="C14" s="9" t="s">
        <v>197</v>
      </c>
      <c r="D14" s="9" t="s">
        <v>204</v>
      </c>
      <c r="E14" s="9" t="s">
        <v>205</v>
      </c>
    </row>
    <row r="15" customFormat="false" ht="15" hidden="false" customHeight="true" outlineLevel="0" collapsed="false">
      <c r="A15" s="16" t="s">
        <v>206</v>
      </c>
      <c r="B15" s="17" t="s">
        <v>166</v>
      </c>
      <c r="C15" s="9" t="s">
        <v>207</v>
      </c>
      <c r="D15" s="9" t="s">
        <v>208</v>
      </c>
      <c r="E15" s="9" t="s">
        <v>209</v>
      </c>
    </row>
    <row r="16" customFormat="false" ht="15" hidden="false" customHeight="true" outlineLevel="0" collapsed="false">
      <c r="A16" s="16" t="s">
        <v>210</v>
      </c>
      <c r="B16" s="17" t="s">
        <v>166</v>
      </c>
      <c r="C16" s="9" t="s">
        <v>207</v>
      </c>
      <c r="D16" s="9" t="s">
        <v>211</v>
      </c>
      <c r="E16" s="9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213</v>
      </c>
    </row>
    <row r="2" customFormat="false" ht="15" hidden="false" customHeight="true" outlineLevel="0" collapsed="false">
      <c r="A2" s="3" t="s">
        <v>214</v>
      </c>
    </row>
    <row r="4" customFormat="false" ht="15" hidden="false" customHeight="true" outlineLevel="0" collapsed="false">
      <c r="A4" s="18" t="s">
        <v>134</v>
      </c>
      <c r="B4" s="18" t="s">
        <v>215</v>
      </c>
      <c r="C4" s="18" t="s">
        <v>38</v>
      </c>
      <c r="D4" s="18" t="s">
        <v>216</v>
      </c>
      <c r="E4" s="18" t="s">
        <v>42</v>
      </c>
      <c r="F4" s="18" t="s">
        <v>44</v>
      </c>
      <c r="G4" s="18" t="s">
        <v>45</v>
      </c>
    </row>
    <row r="5" customFormat="false" ht="23.25" hidden="false" customHeight="true" outlineLevel="0" collapsed="false">
      <c r="A5" s="9" t="n">
        <v>1</v>
      </c>
      <c r="B5" s="9" t="s">
        <v>197</v>
      </c>
      <c r="C5" s="9" t="s">
        <v>217</v>
      </c>
      <c r="D5" s="9" t="s">
        <v>218</v>
      </c>
      <c r="E5" s="9" t="s">
        <v>219</v>
      </c>
      <c r="F5" s="9"/>
      <c r="G5" s="17" t="s">
        <v>220</v>
      </c>
    </row>
    <row r="6" customFormat="false" ht="23.25" hidden="false" customHeight="true" outlineLevel="0" collapsed="false">
      <c r="A6" s="9" t="n">
        <v>2</v>
      </c>
      <c r="B6" s="9" t="s">
        <v>197</v>
      </c>
      <c r="C6" s="9" t="s">
        <v>221</v>
      </c>
      <c r="D6" s="9" t="s">
        <v>222</v>
      </c>
      <c r="E6" s="9" t="s">
        <v>223</v>
      </c>
      <c r="F6" s="9"/>
      <c r="G6" s="17" t="s">
        <v>220</v>
      </c>
    </row>
    <row r="7" customFormat="false" ht="15" hidden="false" customHeight="true" outlineLevel="0" collapsed="false">
      <c r="A7" s="9" t="n">
        <v>3</v>
      </c>
      <c r="B7" s="9" t="s">
        <v>197</v>
      </c>
      <c r="C7" s="9" t="s">
        <v>224</v>
      </c>
      <c r="D7" s="9" t="s">
        <v>225</v>
      </c>
      <c r="E7" s="9" t="s">
        <v>223</v>
      </c>
      <c r="F7" s="9"/>
      <c r="G7" s="17" t="s">
        <v>220</v>
      </c>
    </row>
    <row r="8" customFormat="false" ht="23.25" hidden="false" customHeight="true" outlineLevel="0" collapsed="false">
      <c r="A8" s="9" t="n">
        <v>4</v>
      </c>
      <c r="B8" s="9" t="s">
        <v>197</v>
      </c>
      <c r="C8" s="9" t="s">
        <v>226</v>
      </c>
      <c r="D8" s="9" t="s">
        <v>227</v>
      </c>
      <c r="E8" s="9" t="s">
        <v>223</v>
      </c>
      <c r="F8" s="9"/>
      <c r="G8" s="17" t="s">
        <v>220</v>
      </c>
    </row>
    <row r="9" customFormat="false" ht="23.25" hidden="false" customHeight="true" outlineLevel="0" collapsed="false">
      <c r="A9" s="9" t="n">
        <v>5</v>
      </c>
      <c r="B9" s="9" t="s">
        <v>197</v>
      </c>
      <c r="C9" s="9" t="s">
        <v>228</v>
      </c>
      <c r="D9" s="9" t="s">
        <v>229</v>
      </c>
      <c r="E9" s="9" t="s">
        <v>223</v>
      </c>
      <c r="F9" s="9"/>
      <c r="G9" s="17" t="s">
        <v>220</v>
      </c>
    </row>
    <row r="10" customFormat="false" ht="15" hidden="false" customHeight="true" outlineLevel="0" collapsed="false">
      <c r="A10" s="9" t="n">
        <v>6</v>
      </c>
      <c r="B10" s="9" t="s">
        <v>197</v>
      </c>
      <c r="C10" s="9" t="s">
        <v>217</v>
      </c>
      <c r="D10" s="9" t="s">
        <v>230</v>
      </c>
      <c r="E10" s="9" t="s">
        <v>223</v>
      </c>
      <c r="F10" s="9"/>
      <c r="G10" s="17" t="s">
        <v>220</v>
      </c>
    </row>
    <row r="11" customFormat="false" ht="23.25" hidden="false" customHeight="true" outlineLevel="0" collapsed="false">
      <c r="A11" s="9" t="n">
        <v>7</v>
      </c>
      <c r="B11" s="9" t="s">
        <v>197</v>
      </c>
      <c r="C11" s="9" t="s">
        <v>221</v>
      </c>
      <c r="D11" s="9" t="s">
        <v>231</v>
      </c>
      <c r="E11" s="9" t="s">
        <v>223</v>
      </c>
      <c r="F11" s="9"/>
      <c r="G11" s="17" t="s">
        <v>220</v>
      </c>
    </row>
    <row r="12" customFormat="false" ht="23.25" hidden="false" customHeight="true" outlineLevel="0" collapsed="false">
      <c r="A12" s="9" t="n">
        <v>8</v>
      </c>
      <c r="B12" s="9" t="s">
        <v>232</v>
      </c>
      <c r="C12" s="9" t="s">
        <v>221</v>
      </c>
      <c r="D12" s="9" t="s">
        <v>233</v>
      </c>
      <c r="E12" s="9" t="s">
        <v>130</v>
      </c>
      <c r="F12" s="9"/>
      <c r="G12" s="17" t="s">
        <v>220</v>
      </c>
    </row>
    <row r="13" customFormat="false" ht="34.5" hidden="false" customHeight="true" outlineLevel="0" collapsed="false">
      <c r="A13" s="9" t="n">
        <v>9</v>
      </c>
      <c r="B13" s="9" t="s">
        <v>232</v>
      </c>
      <c r="C13" s="9" t="s">
        <v>226</v>
      </c>
      <c r="D13" s="9" t="s">
        <v>234</v>
      </c>
      <c r="E13" s="9" t="s">
        <v>235</v>
      </c>
      <c r="F13" s="9"/>
      <c r="G13" s="17" t="s">
        <v>220</v>
      </c>
    </row>
    <row r="14" customFormat="false" ht="23.25" hidden="false" customHeight="true" outlineLevel="0" collapsed="false">
      <c r="A14" s="9" t="n">
        <v>10</v>
      </c>
      <c r="B14" s="9" t="s">
        <v>232</v>
      </c>
      <c r="C14" s="9" t="s">
        <v>217</v>
      </c>
      <c r="D14" s="9" t="s">
        <v>236</v>
      </c>
      <c r="E14" s="9" t="s">
        <v>237</v>
      </c>
      <c r="F14" s="9"/>
      <c r="G14" s="17" t="s">
        <v>220</v>
      </c>
    </row>
    <row r="15" customFormat="false" ht="15" hidden="false" customHeight="true" outlineLevel="0" collapsed="false">
      <c r="A15" s="9" t="n">
        <v>11</v>
      </c>
      <c r="B15" s="9" t="s">
        <v>232</v>
      </c>
      <c r="C15" s="9" t="s">
        <v>224</v>
      </c>
      <c r="D15" s="9" t="s">
        <v>238</v>
      </c>
      <c r="E15" s="9" t="s">
        <v>130</v>
      </c>
      <c r="F15" s="9"/>
      <c r="G15" s="17" t="s">
        <v>220</v>
      </c>
    </row>
    <row r="16" customFormat="false" ht="23.25" hidden="false" customHeight="true" outlineLevel="0" collapsed="false">
      <c r="A16" s="9" t="n">
        <v>12</v>
      </c>
      <c r="B16" s="9" t="s">
        <v>232</v>
      </c>
      <c r="C16" s="9" t="s">
        <v>228</v>
      </c>
      <c r="D16" s="9" t="s">
        <v>239</v>
      </c>
      <c r="E16" s="9" t="s">
        <v>130</v>
      </c>
      <c r="F16" s="9"/>
      <c r="G16" s="17" t="s">
        <v>220</v>
      </c>
    </row>
    <row r="17" customFormat="false" ht="23.25" hidden="false" customHeight="true" outlineLevel="0" collapsed="false">
      <c r="A17" s="9" t="n">
        <v>13</v>
      </c>
      <c r="B17" s="9" t="s">
        <v>232</v>
      </c>
      <c r="C17" s="9" t="s">
        <v>221</v>
      </c>
      <c r="D17" s="9" t="s">
        <v>240</v>
      </c>
      <c r="E17" s="9" t="s">
        <v>130</v>
      </c>
      <c r="F17" s="9"/>
      <c r="G17" s="17" t="s">
        <v>220</v>
      </c>
    </row>
    <row r="18" customFormat="false" ht="15" hidden="false" customHeight="true" outlineLevel="0" collapsed="false">
      <c r="A18" s="9" t="n">
        <v>14</v>
      </c>
      <c r="B18" s="9" t="s">
        <v>232</v>
      </c>
      <c r="C18" s="9" t="s">
        <v>226</v>
      </c>
      <c r="D18" s="9" t="s">
        <v>241</v>
      </c>
      <c r="E18" s="9" t="s">
        <v>130</v>
      </c>
      <c r="F18" s="9"/>
      <c r="G18" s="17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2"/>
  </cols>
  <sheetData>
    <row r="1" customFormat="false" ht="19.5" hidden="false" customHeight="true" outlineLevel="0" collapsed="false">
      <c r="A1" s="2" t="s">
        <v>242</v>
      </c>
    </row>
    <row r="2" customFormat="false" ht="15" hidden="false" customHeight="true" outlineLevel="0" collapsed="false">
      <c r="A2" s="3" t="s">
        <v>243</v>
      </c>
    </row>
    <row r="4" customFormat="false" ht="15" hidden="false" customHeight="true" outlineLevel="0" collapsed="false">
      <c r="A4" s="19" t="s">
        <v>34</v>
      </c>
      <c r="B4" s="19" t="s">
        <v>37</v>
      </c>
      <c r="C4" s="19" t="s">
        <v>244</v>
      </c>
      <c r="D4" s="19" t="s">
        <v>245</v>
      </c>
      <c r="E4" s="19" t="s">
        <v>246</v>
      </c>
      <c r="F4" s="19" t="s">
        <v>247</v>
      </c>
    </row>
    <row r="5" customFormat="false" ht="15" hidden="false" customHeight="true" outlineLevel="0" collapsed="false">
      <c r="A5" s="3" t="s">
        <v>248</v>
      </c>
      <c r="C5" s="20" t="s">
        <v>249</v>
      </c>
      <c r="D5" s="20" t="s">
        <v>250</v>
      </c>
      <c r="E5" s="2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252</v>
      </c>
    </row>
    <row r="2" customFormat="false" ht="15" hidden="false" customHeight="true" outlineLevel="0" collapsed="false">
      <c r="A2" s="3" t="s">
        <v>253</v>
      </c>
    </row>
    <row r="4" customFormat="false" ht="15" hidden="false" customHeight="true" outlineLevel="0" collapsed="false">
      <c r="A4" s="21" t="s">
        <v>254</v>
      </c>
      <c r="B4" s="22" t="n">
        <f aca="false">COUNTA('Weekly Calendar'!L5:L500)</f>
        <v>14</v>
      </c>
    </row>
    <row r="5" customFormat="false" ht="15" hidden="false" customHeight="true" outlineLevel="0" collapsed="false">
      <c r="A5" s="21" t="s">
        <v>220</v>
      </c>
      <c r="B5" s="22" t="n">
        <f aca="false">COUNTIF('Weekly Calendar'!L5:L500,"Approved")</f>
        <v>0</v>
      </c>
    </row>
    <row r="6" customFormat="false" ht="15" hidden="false" customHeight="true" outlineLevel="0" collapsed="false">
      <c r="A6" s="21" t="s">
        <v>255</v>
      </c>
      <c r="B6" s="22" t="n">
        <f aca="false">COUNTIF('Weekly Calendar'!L5:L500,"Drafted")</f>
        <v>14</v>
      </c>
    </row>
    <row r="7" customFormat="false" ht="15" hidden="false" customHeight="true" outlineLevel="0" collapsed="false">
      <c r="A7" s="21" t="s">
        <v>256</v>
      </c>
      <c r="B7" s="22" t="n">
        <f aca="false">COUNTIF('Weekly Calendar'!L5:L500,"Rejected")</f>
        <v>0</v>
      </c>
    </row>
    <row r="8" customFormat="false" ht="15" hidden="false" customHeight="true" outlineLevel="0" collapsed="false">
      <c r="A8" s="21" t="s">
        <v>257</v>
      </c>
      <c r="B8" s="22" t="n">
        <f aca="false">COUNTIF('Weekly Calendar'!L5:L500,"Published")</f>
        <v>0</v>
      </c>
    </row>
    <row r="9" customFormat="false" ht="15" hidden="false" customHeight="true" outlineLevel="0" collapsed="false">
      <c r="A9" s="21" t="s">
        <v>258</v>
      </c>
      <c r="B9" s="23" t="n">
        <f aca="false">IFERROR(B8/B4,0)</f>
        <v>0</v>
      </c>
    </row>
    <row r="10" customFormat="false" ht="15" hidden="false" customHeight="true" outlineLevel="0" collapsed="false">
      <c r="A10" s="21" t="s">
        <v>259</v>
      </c>
      <c r="B10" s="22" t="n">
        <f aca="false">COUNTIF('Weekly Calendar'!D5:D500,"*China*")</f>
        <v>7</v>
      </c>
    </row>
    <row r="11" customFormat="false" ht="15" hidden="false" customHeight="true" outlineLevel="0" collapsed="false">
      <c r="A11" s="21" t="s">
        <v>260</v>
      </c>
      <c r="B11" s="22" t="n">
        <f aca="false">COUNTIF('Weekly Calendar'!D5:D500,"*Bangladesh*")</f>
        <v>7</v>
      </c>
    </row>
    <row r="12" customFormat="false" ht="15" hidden="false" customHeight="true" outlineLevel="0" collapsed="false">
      <c r="A12" s="21" t="s">
        <v>261</v>
      </c>
      <c r="B12" s="22" t="n">
        <f aca="false">IFERROR(AVERAGE('Weekly Calendar'!O5:O500),0)</f>
        <v>0</v>
      </c>
    </row>
    <row r="13" customFormat="false" ht="15" hidden="false" customHeight="true" outlineLevel="0" collapsed="false">
      <c r="A13" s="21" t="s">
        <v>262</v>
      </c>
      <c r="B13" s="22" t="n">
        <f aca="false">IFERROR(AVERAGE('Weekly Calendar'!P5:P500),0)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26"/>
  </cols>
  <sheetData>
    <row r="1" customFormat="false" ht="19.5" hidden="false" customHeight="true" outlineLevel="0" collapsed="false">
      <c r="A1" s="2" t="s">
        <v>263</v>
      </c>
    </row>
    <row r="2" customFormat="false" ht="15" hidden="false" customHeight="true" outlineLevel="0" collapsed="false">
      <c r="A2" s="3" t="s">
        <v>264</v>
      </c>
    </row>
    <row r="4" customFormat="false" ht="23.25" hidden="false" customHeight="true" outlineLevel="0" collapsed="false">
      <c r="A4" s="24" t="s">
        <v>265</v>
      </c>
      <c r="B4" s="24" t="s">
        <v>266</v>
      </c>
      <c r="C4" s="24" t="s">
        <v>267</v>
      </c>
      <c r="D4" s="24" t="s">
        <v>268</v>
      </c>
      <c r="E4" s="24" t="s">
        <v>269</v>
      </c>
      <c r="F4" s="24" t="s">
        <v>270</v>
      </c>
      <c r="G4" s="24" t="s">
        <v>271</v>
      </c>
      <c r="H4" s="24" t="s">
        <v>272</v>
      </c>
      <c r="I4" s="24" t="s">
        <v>45</v>
      </c>
      <c r="J4" s="24" t="s">
        <v>273</v>
      </c>
      <c r="K4" s="24" t="s">
        <v>274</v>
      </c>
    </row>
    <row r="5" customFormat="false" ht="15" hidden="false" customHeight="true" outlineLevel="0" collapsed="false">
      <c r="A5" s="17" t="n">
        <v>1</v>
      </c>
      <c r="B5" s="16" t="s">
        <v>275</v>
      </c>
      <c r="C5" s="9" t="s">
        <v>276</v>
      </c>
      <c r="D5" s="9" t="s">
        <v>277</v>
      </c>
      <c r="E5" s="9" t="s">
        <v>278</v>
      </c>
      <c r="F5" s="9" t="s">
        <v>278</v>
      </c>
      <c r="G5" s="9" t="str">
        <f aca="false">IFERROR(ROUND(F5*0.85,0),"")</f>
        <v/>
      </c>
      <c r="H5" s="25"/>
      <c r="I5" s="17" t="s">
        <v>279</v>
      </c>
      <c r="J5" s="25"/>
      <c r="K5" s="9" t="s">
        <v>280</v>
      </c>
    </row>
    <row r="6" customFormat="false" ht="15" hidden="false" customHeight="true" outlineLevel="0" collapsed="false">
      <c r="A6" s="17" t="n">
        <v>2</v>
      </c>
      <c r="B6" s="16" t="s">
        <v>281</v>
      </c>
      <c r="C6" s="11" t="s">
        <v>282</v>
      </c>
      <c r="D6" s="11" t="s">
        <v>283</v>
      </c>
      <c r="E6" s="11" t="s">
        <v>278</v>
      </c>
      <c r="F6" s="11" t="s">
        <v>278</v>
      </c>
      <c r="G6" s="11" t="str">
        <f aca="false">IFERROR(ROUND(F6*0.85,0),"")</f>
        <v/>
      </c>
      <c r="H6" s="25"/>
      <c r="I6" s="17" t="s">
        <v>279</v>
      </c>
      <c r="J6" s="25"/>
      <c r="K6" s="11"/>
    </row>
    <row r="7" customFormat="false" ht="15" hidden="false" customHeight="true" outlineLevel="0" collapsed="false">
      <c r="A7" s="17" t="n">
        <v>3</v>
      </c>
      <c r="B7" s="16" t="s">
        <v>281</v>
      </c>
      <c r="C7" s="9" t="s">
        <v>282</v>
      </c>
      <c r="D7" s="9" t="s">
        <v>284</v>
      </c>
      <c r="E7" s="9" t="s">
        <v>278</v>
      </c>
      <c r="F7" s="9" t="s">
        <v>278</v>
      </c>
      <c r="G7" s="9" t="str">
        <f aca="false">IFERROR(ROUND(F7*0.85,0),"")</f>
        <v/>
      </c>
      <c r="H7" s="25"/>
      <c r="I7" s="17" t="s">
        <v>279</v>
      </c>
      <c r="J7" s="25"/>
      <c r="K7" s="9"/>
    </row>
    <row r="8" customFormat="false" ht="15" hidden="false" customHeight="true" outlineLevel="0" collapsed="false">
      <c r="A8" s="17" t="n">
        <v>4</v>
      </c>
      <c r="B8" s="16" t="s">
        <v>281</v>
      </c>
      <c r="C8" s="11" t="s">
        <v>282</v>
      </c>
      <c r="D8" s="11" t="s">
        <v>285</v>
      </c>
      <c r="E8" s="11" t="s">
        <v>278</v>
      </c>
      <c r="F8" s="11" t="s">
        <v>278</v>
      </c>
      <c r="G8" s="11" t="str">
        <f aca="false">IFERROR(ROUND(F8*0.85,0),"")</f>
        <v/>
      </c>
      <c r="H8" s="25"/>
      <c r="I8" s="17" t="s">
        <v>279</v>
      </c>
      <c r="J8" s="25"/>
      <c r="K8" s="11"/>
    </row>
    <row r="9" customFormat="false" ht="15" hidden="false" customHeight="true" outlineLevel="0" collapsed="false">
      <c r="A9" s="17" t="n">
        <v>5</v>
      </c>
      <c r="B9" s="16" t="s">
        <v>281</v>
      </c>
      <c r="C9" s="9" t="s">
        <v>282</v>
      </c>
      <c r="D9" s="9" t="s">
        <v>286</v>
      </c>
      <c r="E9" s="9" t="s">
        <v>278</v>
      </c>
      <c r="F9" s="9" t="s">
        <v>278</v>
      </c>
      <c r="G9" s="9" t="str">
        <f aca="false">IFERROR(ROUND(F9*0.85,0),"")</f>
        <v/>
      </c>
      <c r="H9" s="25"/>
      <c r="I9" s="17" t="s">
        <v>279</v>
      </c>
      <c r="J9" s="25"/>
      <c r="K9" s="9"/>
    </row>
    <row r="10" customFormat="false" ht="15" hidden="false" customHeight="true" outlineLevel="0" collapsed="false">
      <c r="A10" s="17" t="n">
        <v>6</v>
      </c>
      <c r="B10" s="16" t="s">
        <v>281</v>
      </c>
      <c r="C10" s="11" t="s">
        <v>282</v>
      </c>
      <c r="D10" s="11" t="s">
        <v>287</v>
      </c>
      <c r="E10" s="11" t="s">
        <v>278</v>
      </c>
      <c r="F10" s="11" t="s">
        <v>278</v>
      </c>
      <c r="G10" s="11" t="str">
        <f aca="false">IFERROR(ROUND(F10*0.85,0),"")</f>
        <v/>
      </c>
      <c r="H10" s="25"/>
      <c r="I10" s="17" t="s">
        <v>279</v>
      </c>
      <c r="J10" s="25"/>
      <c r="K10" s="11"/>
    </row>
    <row r="11" customFormat="false" ht="15" hidden="false" customHeight="true" outlineLevel="0" collapsed="false">
      <c r="A11" s="17" t="n">
        <v>7</v>
      </c>
      <c r="B11" s="16" t="s">
        <v>281</v>
      </c>
      <c r="C11" s="9" t="s">
        <v>282</v>
      </c>
      <c r="D11" s="9" t="s">
        <v>288</v>
      </c>
      <c r="E11" s="9" t="s">
        <v>278</v>
      </c>
      <c r="F11" s="9" t="s">
        <v>278</v>
      </c>
      <c r="G11" s="9" t="str">
        <f aca="false">IFERROR(ROUND(F11*0.85,0),"")</f>
        <v/>
      </c>
      <c r="H11" s="25"/>
      <c r="I11" s="17" t="s">
        <v>279</v>
      </c>
      <c r="J11" s="25"/>
      <c r="K11" s="9"/>
    </row>
    <row r="12" customFormat="false" ht="15" hidden="false" customHeight="true" outlineLevel="0" collapsed="false">
      <c r="A12" s="17" t="n">
        <v>8</v>
      </c>
      <c r="B12" s="16" t="s">
        <v>281</v>
      </c>
      <c r="C12" s="11" t="s">
        <v>282</v>
      </c>
      <c r="D12" s="11" t="s">
        <v>289</v>
      </c>
      <c r="E12" s="11" t="s">
        <v>278</v>
      </c>
      <c r="F12" s="11" t="s">
        <v>278</v>
      </c>
      <c r="G12" s="11" t="str">
        <f aca="false">IFERROR(ROUND(F12*0.85,0),"")</f>
        <v/>
      </c>
      <c r="H12" s="25"/>
      <c r="I12" s="17" t="s">
        <v>279</v>
      </c>
      <c r="J12" s="25"/>
      <c r="K12" s="11"/>
    </row>
    <row r="15" customFormat="false" ht="15" hidden="false" customHeight="true" outlineLevel="0" collapsed="false">
      <c r="A15" s="6" t="s">
        <v>290</v>
      </c>
    </row>
    <row r="16" customFormat="false" ht="53.25" hidden="false" customHeight="true" outlineLevel="0" collapsed="false">
      <c r="A16" s="26" t="s">
        <v>291</v>
      </c>
    </row>
    <row r="17" customFormat="false" ht="105.75" hidden="false" customHeight="true" outlineLevel="0" collapsed="false">
      <c r="A17" s="26" t="s">
        <v>292</v>
      </c>
    </row>
    <row r="18" customFormat="false" ht="126.75" hidden="false" customHeight="true" outlineLevel="0" collapsed="false">
      <c r="A18" s="26" t="s">
        <v>293</v>
      </c>
    </row>
    <row r="19" customFormat="false" ht="105.75" hidden="false" customHeight="true" outlineLevel="0" collapsed="false">
      <c r="A19" s="26" t="s">
        <v>294</v>
      </c>
    </row>
    <row r="20" customFormat="false" ht="84.75" hidden="false" customHeight="true" outlineLevel="0" collapsed="false">
      <c r="A20" s="26" t="s">
        <v>295</v>
      </c>
    </row>
    <row r="21" customFormat="false" ht="137.25" hidden="false" customHeight="true" outlineLevel="0" collapsed="false">
      <c r="A21" s="26" t="s">
        <v>296</v>
      </c>
    </row>
    <row r="22" customFormat="false" ht="220.5" hidden="false" customHeight="true" outlineLevel="0" collapsed="false">
      <c r="A22" s="26" t="s">
        <v>297</v>
      </c>
    </row>
  </sheetData>
  <dataValidations count="1">
    <dataValidation allowBlank="true" errorStyle="stop" operator="between" showDropDown="false" showErrorMessage="false" showInputMessage="false" sqref="I5:I12" type="list">
      <formula1>"Active,Cooling,Exhausted,Disabled"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2026-06-13T13:39:19Z</dcterms:created>
  <dc:creator>openpyxl</dc:creator>
  <dc:description/>
  <dc:language>en-US</dc:language>
  <cp:lastModifiedBy/>
  <dcterms:modified xsi:type="dcterms:W3CDTF">2026-06-13T14:31:16Z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